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b41df58c7b46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KNN" sheetId="1" r:id="R781568ecf39a4680"/>
    <x:sheet xmlns:r="http://schemas.openxmlformats.org/officeDocument/2006/relationships" name="Rumus" sheetId="2" r:id="Ra2241ec32890462e"/>
    <x:sheet xmlns:r="http://schemas.openxmlformats.org/officeDocument/2006/relationships" name="Normalisasi" sheetId="3" r:id="R067cd53857ce4f03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F6" authorId="0">
      <x:text>
        <x:r>
          <x:t>Normalisasi IPK = (IPK - Min IPK) / (Max IPK - Min IPK)</x:t>
        </x:r>
      </x:text>
    </x:comment>
    <x:comment ref="G6" authorId="0">
      <x:text>
        <x:r>
          <x:t>Normalisasi PO = (PO - Min PO) / (Max PO - Min PO)</x:t>
        </x:r>
      </x:text>
    </x:comment>
    <x:comment ref="H6" authorId="0">
      <x:text>
        <x:r>
          <x:t>Normalisasi JMLH = (JMLH - Min JMLH) / (Max JMLH - Min JMLH)</x:t>
        </x:r>
      </x:text>
    </x:comment>
    <x:comment ref="L11" authorId="0">
      <x:text>
        <x:r>
          <x:t>Estimasi missing value = SUMPRODUCT(Bobot, JMLH) / SUM(Bobot)</x:t>
        </x:r>
      </x:text>
    </x:comment>
    <x:comment ref="M17" authorId="0">
      <x:text>
        <x:r>
          <x:t>Jarak Euclidean antara baris data dan baris yang missing.</x:t>
        </x:r>
      </x:text>
    </x:comment>
    <x:comment ref="O17" authorId="0">
      <x:text>
        <x:r>
          <x:t>Bobot WKNN = 1 / jarak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"/>
  </x:numFmts>
  <x:fonts count="13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FFFFFF"/>
    </x:font>
    <x:font>
      <x:b/>
      <x:color rgb="00000000"/>
    </x:font>
    <x:font>
      <x:color rgb="00808080"/>
    </x:font>
    <x:font>
      <x:color rgb="000000FF"/>
    </x:font>
    <x:font>
      <x:color rgb="00000000"/>
    </x:font>
    <x:font>
      <x:b/>
    </x:font>
    <x:font>
      <x:b/>
      <x:color rgb="00800080"/>
    </x:font>
    <x:font>
      <x:color rgb="00800080"/>
    </x:font>
    <x:font>
      <x:b/>
      <x:sz val="13"/>
      <x:color rgb="00FFFFFF"/>
    </x:font>
    <x:font>
      <x:b/>
      <x:sz val="12"/>
      <x:color rgb="00FFFFFF"/>
    </x:font>
    <x:font/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D9E2F3"/>
      </x:patternFill>
    </x:fill>
    <x:fill>
      <x:patternFill patternType="solid">
        <x:fgColor rgb="00EEF5FF"/>
      </x:patternFill>
    </x:fill>
    <x:fill>
      <x:patternFill patternType="solid">
        <x:fgColor rgb="00FFFFFF"/>
      </x:patternFill>
    </x:fill>
    <x:fill>
      <x:patternFill patternType="solid">
        <x:fgColor rgb="00F3E5F5"/>
      </x:patternFill>
    </x:fill>
    <x:fill>
      <x:patternFill patternType="solid">
        <x:fgColor rgb="00FFF2CC"/>
      </x:patternFill>
    </x:fill>
    <x:fill>
      <x:patternFill patternType="solid">
        <x:fgColor rgb="00E2F0D9"/>
      </x:patternFill>
    </x:fill>
  </x:fills>
  <x:borders count="9">
    <x:border>
      <x:left/>
      <x:right/>
      <x:top/>
      <x:bottom/>
      <x:diagonal/>
    </x:border>
    <x:border>
      <x:left style="medium">
        <x:color rgb="007F7F7F"/>
      </x:left>
      <x:right style="medium">
        <x:color rgb="007F7F7F"/>
      </x:right>
      <x:top style="medium">
        <x:color rgb="007F7F7F"/>
      </x:top>
      <x:bottom style="medium">
        <x:color rgb="007F7F7F"/>
      </x:bottom>
    </x:border>
    <x:border>
      <x:left style="thin">
        <x:color rgb="007F7F7F"/>
      </x:left>
      <x:right style="thin">
        <x:color rgb="007F7F7F"/>
      </x:right>
      <x:top style="thin">
        <x:color rgb="007F7F7F"/>
      </x:top>
      <x:bottom style="thin">
        <x:color rgb="007F7F7F"/>
      </x:bottom>
    </x:border>
    <x:border>
      <x:left/>
      <x:right/>
      <x:top style="medium">
        <x:color rgb="007F7F7F"/>
      </x:top>
      <x:bottom/>
      <x:diagonal/>
    </x:border>
    <x:border>
      <x:left/>
      <x:right style="medium">
        <x:color rgb="007F7F7F"/>
      </x:right>
      <x:top style="medium">
        <x:color rgb="007F7F7F"/>
      </x:top>
      <x:bottom/>
      <x:diagonal/>
    </x:border>
    <x:border>
      <x:left/>
      <x:right/>
      <x:top style="medium">
        <x:color rgb="007F7F7F"/>
      </x:top>
      <x:bottom style="medium">
        <x:color rgb="007F7F7F"/>
      </x:bottom>
      <x:diagonal/>
    </x:border>
    <x:border>
      <x:left/>
      <x:right style="medium">
        <x:color rgb="007F7F7F"/>
      </x:right>
      <x:top style="medium">
        <x:color rgb="007F7F7F"/>
      </x:top>
      <x:bottom style="medium">
        <x:color rgb="007F7F7F"/>
      </x:bottom>
      <x:diagonal/>
    </x:border>
    <x:border>
      <x:top style="thin">
        <x:color rgb="00BFBFBF"/>
      </x:top>
      <x:bottom style="thin">
        <x:color rgb="00BFBFBF"/>
      </x:bottom>
    </x:border>
    <x:border>
      <x:bottom style="thin">
        <x:color rgb="00BFBFBF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2" borderId="0" xfId="0" applyAlignment="1">
      <x:alignment horizontal="center" vertical="center"/>
    </x:xf>
    <x:xf numFmtId="0" fontId="0" fillId="0" borderId="0" xfId="0" applyAlignment="1">
      <x:alignment vertical="center"/>
    </x:xf>
    <x:xf numFmtId="0" fontId="2" fillId="2" borderId="1" xfId="0" applyAlignment="1">
      <x:alignment horizontal="center" vertical="center"/>
    </x:xf>
    <x:xf numFmtId="0" fontId="0" fillId="0" borderId="1" xfId="0" applyAlignment="1">
      <x:alignment vertical="center"/>
    </x:xf>
    <x:xf numFmtId="0" fontId="2" fillId="2" borderId="1" xfId="0" applyAlignment="1">
      <x:alignment horizontal="center"/>
    </x:xf>
    <x:xf numFmtId="0" fontId="3" fillId="3" borderId="2" xfId="0" applyAlignment="1">
      <x:alignment horizontal="center"/>
    </x:xf>
    <x:xf numFmtId="0" fontId="7" fillId="3" borderId="2" xfId="0" applyAlignment="1">
      <x:alignment horizontal="center"/>
    </x:xf>
    <x:xf numFmtId="0" fontId="4" fillId="0" borderId="2" xfId="0" applyAlignment="1">
      <x:alignment horizontal="center"/>
    </x:xf>
    <x:xf numFmtId="0" fontId="5" fillId="4" borderId="2" xfId="0" applyAlignment="1">
      <x:alignment horizontal="center"/>
    </x:xf>
    <x:xf numFmtId="3" fontId="5" fillId="4" borderId="2" xfId="0" applyAlignment="1">
      <x:alignment horizontal="center"/>
    </x:xf>
    <x:xf numFmtId="1" fontId="5" fillId="4" borderId="2" xfId="0" applyAlignment="1">
      <x:alignment horizontal="center"/>
    </x:xf>
    <x:xf numFmtId="164" fontId="6" fillId="5" borderId="2" xfId="0" applyAlignment="1">
      <x:alignment horizontal="center"/>
    </x:xf>
    <x:xf numFmtId="164" fontId="6" fillId="0" borderId="2" xfId="0" applyAlignment="1">
      <x:alignment horizontal="center"/>
    </x:xf>
    <x:xf numFmtId="0" fontId="8" fillId="6" borderId="2" xfId="0" applyAlignment="1">
      <x:alignment horizontal="left" vertical="center"/>
    </x:xf>
    <x:xf numFmtId="0" fontId="6" fillId="6" borderId="2" xfId="0" applyAlignment="1">
      <x:alignment horizontal="center" vertical="center"/>
    </x:xf>
    <x:xf numFmtId="164" fontId="6" fillId="7" borderId="2" xfId="0" applyAlignment="1">
      <x:alignment horizontal="center" vertical="center"/>
    </x:xf>
    <x:xf numFmtId="0" fontId="4" fillId="7" borderId="2" xfId="0" applyAlignment="1">
      <x:alignment horizontal="center"/>
    </x:xf>
    <x:xf numFmtId="0" fontId="5" fillId="7" borderId="2" xfId="0" applyAlignment="1">
      <x:alignment horizontal="center"/>
    </x:xf>
    <x:xf numFmtId="3" fontId="5" fillId="7" borderId="2" xfId="0" applyAlignment="1">
      <x:alignment horizontal="center"/>
    </x:xf>
    <x:xf numFmtId="164" fontId="3" fillId="7" borderId="2" xfId="0" applyAlignment="1">
      <x:alignment horizontal="center"/>
    </x:xf>
    <x:xf numFmtId="0" fontId="0" fillId="7" borderId="2" xfId="0" applyAlignment="1">
      <x:alignment vertical="center"/>
    </x:xf>
    <x:xf numFmtId="164" fontId="6" fillId="7" borderId="2" xfId="0" applyAlignment="1">
      <x:alignment horizontal="center"/>
    </x:xf>
    <x:xf numFmtId="1" fontId="6" fillId="7" borderId="2" xfId="0" applyAlignment="1">
      <x:alignment horizontal="center" vertical="center"/>
    </x:xf>
    <x:xf numFmtId="0" fontId="9" fillId="6" borderId="2" xfId="0" applyAlignment="1">
      <x:alignment wrapText="1"/>
    </x:xf>
    <x:xf numFmtId="0" fontId="0" fillId="0" borderId="2" xfId="0" applyAlignment="1">
      <x:alignment horizontal="center"/>
    </x:xf>
    <x:xf numFmtId="164" fontId="0" fillId="0" borderId="2" xfId="0" applyAlignment="1">
      <x:alignment horizontal="center"/>
    </x:xf>
    <x:xf numFmtId="0" fontId="10" fillId="2" borderId="0" xfId="0" applyAlignment="1">
      <x:alignment horizontal="center"/>
    </x:xf>
    <x:xf numFmtId="0" fontId="0" fillId="0" borderId="2" xfId="0" applyAlignment="1">
      <x:alignment vertical="center" wrapText="1"/>
    </x:xf>
    <x:xf numFmtId="164" fontId="0" fillId="0" borderId="2" xfId="0" applyAlignment="1">
      <x:alignment vertical="center" wrapText="1"/>
    </x:xf>
    <x:xf numFmtId="0" fontId="7" fillId="8" borderId="1" xfId="0" applyAlignment="1">
      <x:alignment horizontal="center"/>
    </x:xf>
    <x:xf numFmtId="164" fontId="7" fillId="8" borderId="1" xfId="0" applyAlignment="1">
      <x:alignment horizontal="center"/>
    </x:xf>
    <x:xf numFmtId="0" fontId="0" fillId="0" borderId="5" xfId="0"/>
    <x:xf numFmtId="0" fontId="0" fillId="0" borderId="6" xfId="0"/>
    <x:xf numFmtId="1" fontId="6" fillId="6" borderId="2" xfId="0" applyAlignment="1">
      <x:alignment horizontal="center" vertical="center"/>
    </x:xf>
    <x:xf numFmtId="164" fontId="6" fillId="6" borderId="2" xfId="0" applyAlignment="1">
      <x:alignment horizontal="center" vertical="center"/>
    </x:xf>
    <x:xf numFmtId="0" fontId="6" fillId="6" borderId="2" xfId="0" applyAlignment="1">
      <x:alignment horizontal="left" vertical="center" wrapText="1"/>
    </x:xf>
    <x:xf numFmtId="1" fontId="0" fillId="0" borderId="2" xfId="0" applyAlignment="1">
      <x:alignment horizontal="center"/>
    </x:xf>
    <x:xf numFmtId="0" fontId="11" fillId="2" borderId="0" xfId="0" applyAlignment="1">
      <x:alignment horizontal="center"/>
    </x:xf>
    <x:xf numFmtId="0" fontId="7" fillId="3" borderId="7" xfId="0" applyAlignment="1">
      <x:alignment horizontal="center"/>
    </x:xf>
    <x:xf numFmtId="0" fontId="0" fillId="0" borderId="8" xfId="0" applyAlignment="1">
      <x:alignment horizontal="center"/>
    </x:xf>
    <x:xf numFmtId="0" fontId="0" fillId="0" borderId="8" xfId="0" applyAlignment="1">
      <x:alignment horizontal="left"/>
    </x:xf>
    <x:xf numFmtId="164" fontId="0" fillId="0" borderId="8" xfId="0" applyAlignment="1">
      <x:alignment horizontal="center"/>
    </x:xf>
    <x:xf numFmtId="1" fontId="0" fillId="0" borderId="0" xfId="0"/>
    <x:xf numFmtId="0" fontId="7" fillId="6" borderId="0" xfId="0"/>
    <x:xf numFmtId="1" fontId="7" fillId="6" borderId="0" xfId="0" applyAlignment="1">
      <x:alignment horizontal="center"/>
    </x:xf>
    <x:xf numFmtId="1" fontId="3" fillId="7" borderId="2" xfId="0" applyAlignment="1">
      <x:alignment horizontal="center"/>
    </x:xf>
    <x:xf numFmtId="1" fontId="0" fillId="0" borderId="8" xfId="0" applyAlignment="1">
      <x:alignment horizontal="center"/>
    </x:xf>
    <x:xf numFmtId="0" fontId="10" fillId="2" borderId="0" xfId="0" applyAlignment="1">
      <x:alignment horizontal="center" vertical="center"/>
    </x:xf>
    <x:xf numFmtId="0" fontId="0" fillId="0" borderId="1" xfId="0"/>
    <x:xf numFmtId="0" fontId="4" fillId="5" borderId="2" xfId="0" applyAlignment="1">
      <x:alignment horizontal="center"/>
    </x:xf>
    <x:xf numFmtId="0" fontId="9" fillId="6" borderId="2" xfId="0" applyAlignment="1">
      <x:alignment horizontal="center"/>
    </x:xf>
    <x:xf numFmtId="0" fontId="4" fillId="6" borderId="2" xfId="0" applyAlignment="1">
      <x:alignment horizontal="center"/>
    </x:xf>
    <x:xf numFmtId="164" fontId="6" fillId="6" borderId="2" xfId="0" applyAlignment="1">
      <x:alignment horizontal="center"/>
    </x:xf>
    <x:xf numFmtId="0" fontId="7" fillId="7" borderId="2" xfId="0" applyAlignment="1">
      <x:alignment wrapText="1"/>
    </x:xf>
    <x:xf numFmtId="0" fontId="0" fillId="0" borderId="2" xfId="0"/>
    <x:xf numFmtId="0" fontId="7" fillId="8" borderId="2" xfId="0"/>
    <x:xf numFmtId="164" fontId="7" fillId="8" borderId="2" xfId="0" applyAlignment="1">
      <x:alignment horizontal="center"/>
    </x:xf>
    <x:xf numFmtId="0" fontId="12" fillId="5" borderId="2" xfId="0"/>
    <x:xf numFmtId="164" fontId="0" fillId="5" borderId="2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a7c9cf83344229" /><Relationship Type="http://schemas.openxmlformats.org/officeDocument/2006/relationships/theme" Target="/xl/theme/theme1.xml" Id="Rfc210f3d9a234abf" /><Relationship Type="http://schemas.openxmlformats.org/officeDocument/2006/relationships/sharedStrings" Target="/xl/sharedStrings.xml" Id="Rd0df271a714b4bec" /><Relationship Type="http://schemas.openxmlformats.org/officeDocument/2006/relationships/worksheet" Target="/xl/worksheets/sheet1.xml" Id="R781568ecf39a4680" /><Relationship Type="http://schemas.openxmlformats.org/officeDocument/2006/relationships/worksheet" Target="/xl/worksheets/sheet2.xml" Id="Ra2241ec32890462e" /><Relationship Type="http://schemas.openxmlformats.org/officeDocument/2006/relationships/worksheet" Target="/xl/worksheets/sheet3.xml" Id="R067cd53857ce4f03" /><Relationship Type="http://schemas.microsoft.com/office/2017/10/relationships/person" Target="/xl/persons/person.xml" Id="R5b66817f6a444ba6" /></Relationships>
</file>

<file path=xl/persons/person.xml><?xml version="1.0" encoding="utf-8"?>
<xltc:personList xmlns:xltc="http://schemas.microsoft.com/office/spreadsheetml/2018/threadedcomments">
  <xltc:person displayName="OpenAI" id="{C806CCED-5358-FB98-DA31-A9181FB01745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8ea2a295b9fd47d7" /><Relationship Type="http://schemas.openxmlformats.org/officeDocument/2006/relationships/vmlDrawing" Target="/xl/drawings/vmldrawing.vml" Id="R59e9dad50c79419e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0" customWidth="1"/>
    <x:col min="3" max="3" width="14" customWidth="1"/>
    <x:col min="4" max="4" width="12" customWidth="1"/>
    <x:col min="5" max="5" width="3" customWidth="1"/>
    <x:col min="6" max="6" width="12" customWidth="1"/>
    <x:col min="7" max="7" width="12" customWidth="1"/>
    <x:col min="8" max="8" width="12" customWidth="1"/>
    <x:col min="9" max="9" width="12" customWidth="1"/>
    <x:col min="10" max="10" width="3" customWidth="1"/>
    <x:col min="11" max="11" width="14" customWidth="1"/>
    <x:col min="12" max="12" width="18" customWidth="1"/>
    <x:col min="13" max="13" width="14" customWidth="1"/>
    <x:col min="14" max="14" width="16" customWidth="1"/>
    <x:col min="15" max="15" width="18" customWidth="1"/>
    <x:col min="16" max="16" width="14" customWidth="1"/>
  </x:cols>
  <x:sheetData>
    <x:row r="1" ht="24" customHeight="1">
      <x:c r="A1" s="1" t="inlineStr">
        <x:is>
          <x:t xml:space="preserve">Imputasi Missing Value dengan WKNN (Klasifikasi)</x:t>
        </x:is>
      </x:c>
    </x:row>
    <x:row r="2">
      <x:c r="A2" s="2" t="n"/>
      <x:c r="B2" s="2" t="n"/>
      <x:c r="C2" s="2" t="n"/>
      <x:c r="D2" s="2" t="n"/>
      <x:c r="E2" s="2" t="n"/>
      <x:c r="F2" s="2" t="n"/>
      <x:c r="G2" s="2" t="n"/>
      <x:c r="H2" s="2" t="n"/>
      <x:c r="I2" s="2" t="n"/>
      <x:c r="J2" s="2" t="n"/>
      <x:c r="K2" s="2" t="n"/>
      <x:c r="L2" s="2" t="n"/>
      <x:c r="M2" s="2" t="n"/>
      <x:c r="N2" s="2" t="n"/>
      <x:c r="O2" s="2" t="n"/>
      <x:c r="P2" s="2" t="n"/>
    </x:row>
    <x:row r="3">
      <x:c r="A3" s="2" t="n"/>
      <x:c r="B3" s="2" t="n"/>
      <x:c r="C3" s="2" t="n"/>
      <x:c r="D3" s="2" t="n"/>
      <x:c r="E3" s="2" t="n"/>
      <x:c r="F3" s="2" t="n"/>
      <x:c r="G3" s="2" t="n"/>
      <x:c r="H3" s="2" t="n"/>
      <x:c r="I3" s="2" t="n"/>
      <x:c r="J3" s="2" t="n"/>
      <x:c r="K3" s="2" t="n"/>
      <x:c r="L3" s="2" t="n"/>
      <x:c r="M3" s="2" t="n"/>
      <x:c r="N3" s="2" t="n"/>
      <x:c r="O3" s="2" t="n"/>
      <x:c r="P3" s="2" t="n"/>
    </x:row>
    <x:row r="4">
      <x:c r="A4" s="3" t="inlineStr">
        <x:is>
          <x:t xml:space="preserve">NO</x:t>
        </x:is>
      </x:c>
      <x:c r="B4" s="3" t="inlineStr">
        <x:is>
          <x:t xml:space="preserve">IPK</x:t>
        </x:is>
      </x:c>
      <x:c r="C4" s="3" t="inlineStr">
        <x:is>
          <x:t xml:space="preserve">PO</x:t>
        </x:is>
      </x:c>
      <x:c r="D4" s="3" t="inlineStr">
        <x:is>
          <x:t xml:space="preserve">JMLH</x:t>
        </x:is>
      </x:c>
      <x:c r="E4" s="2" t="n"/>
      <x:c r="F4" s="3" t="inlineStr">
        <x:is>
          <x:t xml:space="preserve">Normalisasi Data Min Max</x:t>
        </x:is>
      </x:c>
      <x:c r="G4" s="32" t="n"/>
      <x:c r="H4" s="33" t="n"/>
      <x:c r="I4" s="3" t="inlineStr">
        <x:is>
          <x:t xml:space="preserve">WKNN</x:t>
        </x:is>
      </x:c>
      <x:c r="J4" s="2" t="n"/>
      <x:c r="K4" s="5" t="inlineStr">
        <x:is>
          <x:t xml:space="preserve">Parameter / Kontrol</x:t>
        </x:is>
      </x:c>
      <x:c r="L4" s="32" t="n"/>
      <x:c r="M4" s="32" t="n"/>
      <x:c r="N4" s="32" t="n"/>
      <x:c r="O4" s="32" t="n"/>
      <x:c r="P4" s="33" t="n"/>
    </x:row>
    <x:row r="5">
      <x:c r="A5" s="2" t="n"/>
      <x:c r="B5" s="2" t="n"/>
      <x:c r="C5" s="2" t="n"/>
      <x:c r="D5" s="2" t="n"/>
      <x:c r="E5" s="2" t="n"/>
      <x:c r="F5" s="6" t="inlineStr">
        <x:is>
          <x:t xml:space="preserve">IPK</x:t>
        </x:is>
      </x:c>
      <x:c r="G5" s="6" t="inlineStr">
        <x:is>
          <x:t xml:space="preserve">PO</x:t>
        </x:is>
      </x:c>
      <x:c r="H5" s="6" t="inlineStr">
        <x:is>
          <x:t xml:space="preserve">JMLH</x:t>
        </x:is>
      </x:c>
      <x:c r="I5" s="2" t="n"/>
      <x:c r="J5" s="2" t="n"/>
      <x:c r="K5" s="7" t="inlineStr">
        <x:is>
          <x:t xml:space="preserve">Variabel</x:t>
        </x:is>
      </x:c>
      <x:c r="L5" s="7" t="inlineStr">
        <x:is>
          <x:t xml:space="preserve">Min</x:t>
        </x:is>
      </x:c>
      <x:c r="M5" s="7" t="inlineStr">
        <x:is>
          <x:t xml:space="preserve">Max</x:t>
        </x:is>
      </x:c>
      <x:c r="N5" s="7" t="inlineStr">
        <x:is>
          <x:t xml:space="preserve">Rumus</x:t>
        </x:is>
      </x:c>
      <x:c r="O5" s="2" t="n"/>
      <x:c r="P5" s="2" t="n"/>
    </x:row>
    <x:row r="6">
      <x:c r="A6" s="8" t="n">
        <x:v>1</x:v>
      </x:c>
      <x:c r="B6" s="9" t="n">
        <x:v>2</x:v>
      </x:c>
      <x:c r="C6" s="10" t="n">
        <x:v>200000</x:v>
      </x:c>
      <x:c r="D6" s="11" t="n">
        <x:v>2</x:v>
      </x:c>
      <x:c r="E6" s="2" t="n"/>
      <x:c r="F6" s="12">
        <x:f>(B6-$L$6)/($M$6-$L$6)</x:f>
        <x:v>0</x:v>
      </x:c>
      <x:c r="G6" s="12">
        <x:f>(C6-$L$7)/($M$7-$L$7)</x:f>
        <x:v>0</x:v>
      </x:c>
      <x:c r="H6" s="12">
        <x:f>IF(D6="","",(D6-$L$8)/($M$8-$L$8))</x:f>
        <x:v>0</x:v>
      </x:c>
      <x:c r="I6" s="12" t="inlineStr">
        <x:is>
          <x:t xml:space="preserve"/>
        </x:is>
      </x:c>
      <x:c r="J6" s="2" t="n"/>
      <x:c r="K6" s="8" t="inlineStr">
        <x:is>
          <x:t xml:space="preserve">IPK</x:t>
        </x:is>
      </x:c>
      <x:c r="L6" s="13">
        <x:f>MIN(B6:B11)</x:f>
        <x:v>2</x:v>
      </x:c>
      <x:c r="M6" s="13">
        <x:f>MAX(B6:B11)</x:f>
        <x:v>4</x:v>
      </x:c>
      <x:c r="N6" s="8" t="inlineStr">
        <x:is>
          <x:t xml:space="preserve">'=(x-Min)/(Max-Min)</x:t>
        </x:is>
      </x:c>
      <x:c r="O6" s="2" t="n"/>
      <x:c r="P6" s="2" t="n"/>
    </x:row>
    <x:row r="7">
      <x:c r="A7" s="8" t="n">
        <x:v>2</x:v>
      </x:c>
      <x:c r="B7" s="9" t="n">
        <x:v>3</x:v>
      </x:c>
      <x:c r="C7" s="10" t="n">
        <x:v>300000</x:v>
      </x:c>
      <x:c r="D7" s="11" t="n">
        <x:v>3</x:v>
      </x:c>
      <x:c r="E7" s="2" t="n"/>
      <x:c r="F7" s="12">
        <x:f>(B7-$L$6)/($M$6-$L$6)</x:f>
        <x:v>0.5</x:v>
      </x:c>
      <x:c r="G7" s="12">
        <x:f>(C7-$L$7)/($M$7-$L$7)</x:f>
        <x:v>0.5</x:v>
      </x:c>
      <x:c r="H7" s="12">
        <x:f>IF(D7="","",(D7-$L$8)/($M$8-$L$8))</x:f>
        <x:v>1</x:v>
      </x:c>
      <x:c r="I7" s="12" t="inlineStr">
        <x:is>
          <x:t xml:space="preserve"/>
        </x:is>
      </x:c>
      <x:c r="J7" s="2" t="n"/>
      <x:c r="K7" s="8" t="inlineStr">
        <x:is>
          <x:t xml:space="preserve">PO</x:t>
        </x:is>
      </x:c>
      <x:c r="L7" s="13">
        <x:f>MIN(C6:C11)</x:f>
        <x:v>200000</x:v>
      </x:c>
      <x:c r="M7" s="13">
        <x:f>MAX(C6:C11)</x:f>
        <x:v>400000</x:v>
      </x:c>
      <x:c r="N7" s="8" t="inlineStr">
        <x:is>
          <x:t xml:space="preserve">'=(x-Min)/(Max-Min)</x:t>
        </x:is>
      </x:c>
      <x:c r="O7" s="2" t="n"/>
      <x:c r="P7" s="2" t="n"/>
    </x:row>
    <x:row r="8">
      <x:c r="A8" s="8" t="n">
        <x:v>3</x:v>
      </x:c>
      <x:c r="B8" s="9" t="n">
        <x:v>4</x:v>
      </x:c>
      <x:c r="C8" s="10" t="n">
        <x:v>200000</x:v>
      </x:c>
      <x:c r="D8" s="11" t="n">
        <x:v>2</x:v>
      </x:c>
      <x:c r="E8" s="2" t="n"/>
      <x:c r="F8" s="12">
        <x:f>(B8-$L$6)/($M$6-$L$6)</x:f>
        <x:v>1</x:v>
      </x:c>
      <x:c r="G8" s="12">
        <x:f>(C8-$L$7)/($M$7-$L$7)</x:f>
        <x:v>0</x:v>
      </x:c>
      <x:c r="H8" s="12">
        <x:f>IF(D8="","",(D8-$L$8)/($M$8-$L$8))</x:f>
        <x:v>0</x:v>
      </x:c>
      <x:c r="I8" s="12" t="inlineStr">
        <x:is>
          <x:t xml:space="preserve"/>
        </x:is>
      </x:c>
      <x:c r="J8" s="2" t="n"/>
      <x:c r="K8" s="8" t="inlineStr">
        <x:is>
          <x:t xml:space="preserve">JMLH</x:t>
        </x:is>
      </x:c>
      <x:c r="L8" s="13">
        <x:f>MIN(D6:D11)</x:f>
        <x:v>2</x:v>
      </x:c>
      <x:c r="M8" s="13">
        <x:f>MAX(D6:D11)</x:f>
        <x:v>3</x:v>
      </x:c>
      <x:c r="N8" s="8" t="inlineStr">
        <x:is>
          <x:t xml:space="preserve">'=(x-Min)/(Max-Min)</x:t>
        </x:is>
      </x:c>
      <x:c r="O8" s="2" t="n"/>
      <x:c r="P8" s="2" t="n"/>
    </x:row>
    <x:row r="9">
      <x:c r="A9" s="8" t="n">
        <x:v>4</x:v>
      </x:c>
      <x:c r="B9" s="9" t="n">
        <x:v>2</x:v>
      </x:c>
      <x:c r="C9" s="10" t="n">
        <x:v>200000</x:v>
      </x:c>
      <x:c r="D9" s="11" t="n">
        <x:v>3</x:v>
      </x:c>
      <x:c r="E9" s="2" t="n"/>
      <x:c r="F9" s="12">
        <x:f>(B9-$L$6)/($M$6-$L$6)</x:f>
        <x:v>0</x:v>
      </x:c>
      <x:c r="G9" s="12">
        <x:f>(C9-$L$7)/($M$7-$L$7)</x:f>
        <x:v>0</x:v>
      </x:c>
      <x:c r="H9" s="12">
        <x:f>IF(D9="","",(D9-$L$8)/($M$8-$L$8))</x:f>
        <x:v>1</x:v>
      </x:c>
      <x:c r="I9" s="12" t="inlineStr">
        <x:is>
          <x:t xml:space="preserve"/>
        </x:is>
      </x:c>
      <x:c r="J9" s="2" t="n"/>
      <x:c r="K9" s="14" t="inlineStr">
        <x:is>
          <x:t xml:space="preserve">Nilai K</x:t>
        </x:is>
      </x:c>
      <x:c r="L9" s="15" t="n">
        <x:v>3</x:v>
      </x:c>
      <x:c r="M9" s="2" t="n"/>
      <x:c r="N9" s="2" t="n"/>
      <x:c r="O9" s="2" t="n"/>
      <x:c r="P9" s="2" t="n"/>
    </x:row>
    <x:row r="10">
      <x:c r="A10" s="8" t="n">
        <x:v>5</x:v>
      </x:c>
      <x:c r="B10" s="9" t="n">
        <x:v>3</x:v>
      </x:c>
      <x:c r="C10" s="10" t="n">
        <x:v>300000</x:v>
      </x:c>
      <x:c r="D10" s="11" t="n">
        <x:v>2</x:v>
      </x:c>
      <x:c r="E10" s="2" t="n"/>
      <x:c r="F10" s="12">
        <x:f>(B10-$L$6)/($M$6-$L$6)</x:f>
        <x:v>0.5</x:v>
      </x:c>
      <x:c r="G10" s="12">
        <x:f>(C10-$L$7)/($M$7-$L$7)</x:f>
        <x:v>0.5</x:v>
      </x:c>
      <x:c r="H10" s="12">
        <x:f>IF(D10="","",(D10-$L$8)/($M$8-$L$8))</x:f>
        <x:v>0</x:v>
      </x:c>
      <x:c r="I10" s="12" t="inlineStr">
        <x:is>
          <x:t xml:space="preserve"/>
        </x:is>
      </x:c>
      <x:c r="J10" s="2" t="n"/>
      <x:c r="K10" s="14" t="inlineStr">
        <x:is>
          <x:t xml:space="preserve">Prediksi WKNN</x:t>
        </x:is>
      </x:c>
      <x:c r="L10" s="34">
        <x:f>INDEX($K$24:$K$25,MATCH(MAX($L$24:$L$25),$L$24:$L$25,0))</x:f>
        <x:v>3</x:v>
      </x:c>
      <x:c r="M10" s="2" t="n"/>
      <x:c r="N10" s="2" t="n"/>
      <x:c r="O10" s="2" t="n"/>
      <x:c r="P10" s="2" t="n"/>
    </x:row>
    <x:row r="11">
      <x:c r="A11" s="8" t="n">
        <x:v>6</x:v>
      </x:c>
      <x:c r="B11" s="9" t="n">
        <x:v>4</x:v>
      </x:c>
      <x:c r="C11" s="10" t="n">
        <x:v>400000</x:v>
      </x:c>
      <x:c r="D11" s="11" t="n">
        <x:v>3</x:v>
      </x:c>
      <x:c r="E11" s="2" t="n"/>
      <x:c r="F11" s="12">
        <x:f>(B11-$L$6)/($M$6-$L$6)</x:f>
        <x:v>1</x:v>
      </x:c>
      <x:c r="G11" s="12">
        <x:f>(C11-$L$7)/($M$7-$L$7)</x:f>
        <x:v>1</x:v>
      </x:c>
      <x:c r="H11" s="12">
        <x:f>IF(D11="","",(D11-$L$8)/($M$8-$L$8))</x:f>
        <x:v>1</x:v>
      </x:c>
      <x:c r="I11" s="12" t="inlineStr">
        <x:is>
          <x:t xml:space="preserve"/>
        </x:is>
      </x:c>
      <x:c r="J11" s="2" t="n"/>
      <x:c r="K11" s="14" t="inlineStr">
        <x:is>
          <x:t xml:space="preserve">Skor kelas 2</x:t>
        </x:is>
      </x:c>
      <x:c r="L11" s="34">
        <x:f>L24</x:f>
        <x:v>4</x:v>
      </x:c>
      <x:c r="M11" s="2" t="n"/>
      <x:c r="N11" s="2" t="n"/>
      <x:c r="O11" s="2" t="n"/>
      <x:c r="P11" s="2" t="n"/>
    </x:row>
    <x:row r="12">
      <x:c r="A12" s="17" t="n">
        <x:v>7</x:v>
      </x:c>
      <x:c r="B12" s="18" t="n">
        <x:v>2</x:v>
      </x:c>
      <x:c r="C12" s="19" t="n">
        <x:v>300000</x:v>
      </x:c>
      <x:c r="D12" s="46">
        <x:f>L10</x:f>
        <x:v>3</x:v>
      </x:c>
      <x:c r="E12" s="21" t="n"/>
      <x:c r="F12" s="22">
        <x:f>(B12-$L$6)/($M$6-$L$6)</x:f>
        <x:v>0</x:v>
      </x:c>
      <x:c r="G12" s="22">
        <x:f>(C12-$L$7)/($M$7-$L$7)</x:f>
        <x:v>0.5</x:v>
      </x:c>
      <x:c r="H12" s="22">
        <x:f>IF(D12="","",(D12-$L$8)/($M$8-$L$8))</x:f>
        <x:v>1</x:v>
      </x:c>
      <x:c r="I12" s="46">
        <x:f>L10</x:f>
        <x:v>3</x:v>
      </x:c>
      <x:c r="J12" s="2" t="n"/>
      <x:c r="K12" s="14" t="inlineStr">
        <x:is>
          <x:t xml:space="preserve">Skor kelas 3</x:t>
        </x:is>
      </x:c>
      <x:c r="L12" s="34">
        <x:f>L25</x:f>
        <x:v>8</x:v>
      </x:c>
      <x:c r="M12" s="2" t="n"/>
      <x:c r="N12" s="2" t="n"/>
      <x:c r="O12" s="2" t="n"/>
      <x:c r="P12" s="2" t="n"/>
    </x:row>
    <x:row r="13" ht="34" customHeight="1">
      <x:c r="A13" s="2" t="n"/>
      <x:c r="B13" s="2" t="n"/>
      <x:c r="C13" s="2" t="n"/>
      <x:c r="D13" s="2" t="n"/>
      <x:c r="E13" s="2" t="n"/>
      <x:c r="F13" s="2" t="n"/>
      <x:c r="G13" s="2" t="n"/>
      <x:c r="H13" s="2" t="n"/>
      <x:c r="I13" s="2" t="n"/>
      <x:c r="J13" s="2" t="n"/>
      <x:c r="K13" s="14" t="inlineStr">
        <x:is>
          <x:t xml:space="preserve">Catatan</x:t>
        </x:is>
      </x:c>
      <x:c r="L13" s="36" t="inlineStr">
        <x:is>
          <x:t xml:space="preserve">Dengan k=3, tie jarak dipecahkan menurut urutan data: NO 1, 2, 4 terpilih.</x:t>
        </x:is>
      </x:c>
      <x:c r="M13" s="2" t="n"/>
      <x:c r="N13" s="2" t="n"/>
      <x:c r="O13" s="2" t="n"/>
      <x:c r="P13" s="2" t="n"/>
    </x:row>
    <x:row r="14">
      <x:c r="A14" s="2" t="n"/>
      <x:c r="B14" s="2" t="n"/>
      <x:c r="C14" s="2" t="n"/>
      <x:c r="D14" s="2" t="n"/>
      <x:c r="E14" s="2" t="n"/>
      <x:c r="F14" s="2" t="n"/>
      <x:c r="G14" s="2" t="n"/>
      <x:c r="H14" s="2" t="n"/>
      <x:c r="I14" s="2" t="n"/>
      <x:c r="J14" s="2" t="n"/>
      <x:c r="K14" s="2" t="n"/>
      <x:c r="L14" s="2" t="n"/>
      <x:c r="M14" s="2" t="n"/>
      <x:c r="N14" s="2" t="n"/>
      <x:c r="O14" s="2" t="n"/>
      <x:c r="P14" s="2" t="n"/>
    </x:row>
    <x:row r="15">
      <x:c r="A15" s="2" t="n"/>
      <x:c r="B15" s="2" t="n"/>
      <x:c r="C15" s="2" t="n"/>
      <x:c r="D15" s="2" t="n"/>
      <x:c r="E15" s="2" t="n"/>
      <x:c r="F15" s="2" t="n"/>
      <x:c r="G15" s="2" t="n"/>
      <x:c r="H15" s="2" t="n"/>
      <x:c r="I15" s="2" t="n"/>
      <x:c r="J15" s="2" t="n"/>
      <x:c r="K15" s="5" t="inlineStr">
        <x:is>
          <x:t xml:space="preserve">Perhitungan Tetangga Terdekat (IPK &amp; PO ternormalisasi, k=3)</x:t>
        </x:is>
      </x:c>
      <x:c r="L15" s="32" t="n"/>
      <x:c r="M15" s="32" t="n"/>
      <x:c r="N15" s="32" t="n"/>
      <x:c r="O15" s="32" t="n"/>
      <x:c r="P15" s="33" t="n"/>
    </x:row>
    <x:row r="16">
      <x:c r="A16" s="2" t="n"/>
      <x:c r="B16" s="2" t="n"/>
      <x:c r="C16" s="2" t="n"/>
      <x:c r="D16" s="2" t="n"/>
      <x:c r="E16" s="2" t="n"/>
      <x:c r="F16" s="2" t="n"/>
      <x:c r="G16" s="2" t="n"/>
      <x:c r="H16" s="2" t="n"/>
      <x:c r="I16" s="2" t="n"/>
      <x:c r="J16" s="2" t="n"/>
      <x:c r="K16" s="7" t="inlineStr">
        <x:is>
          <x:t xml:space="preserve">NO</x:t>
        </x:is>
      </x:c>
      <x:c r="L16" s="7" t="inlineStr">
        <x:is>
          <x:t xml:space="preserve">JMLH</x:t>
        </x:is>
      </x:c>
      <x:c r="M16" s="7" t="inlineStr">
        <x:is>
          <x:t xml:space="preserve">Jarak</x:t>
        </x:is>
      </x:c>
      <x:c r="N16" s="7" t="inlineStr">
        <x:is>
          <x:t xml:space="preserve">Rank</x:t>
        </x:is>
      </x:c>
      <x:c r="O16" s="7" t="inlineStr">
        <x:is>
          <x:t xml:space="preserve">Dipakai?</x:t>
        </x:is>
      </x:c>
      <x:c r="P16" s="7" t="inlineStr">
        <x:is>
          <x:t xml:space="preserve">Bobot 1/d^2</x:t>
        </x:is>
      </x:c>
    </x:row>
    <x:row r="17">
      <x:c r="A17" s="2" t="n"/>
      <x:c r="B17" s="2" t="n"/>
      <x:c r="C17" s="2" t="n"/>
      <x:c r="D17" s="2" t="n"/>
      <x:c r="E17" s="2" t="n"/>
      <x:c r="F17" s="2" t="n"/>
      <x:c r="G17" s="2" t="n"/>
      <x:c r="H17" s="2" t="n"/>
      <x:c r="I17" s="2" t="n"/>
      <x:c r="J17" s="2" t="n"/>
      <x:c r="K17" s="25">
        <x:f>A6</x:f>
        <x:v>1</x:v>
      </x:c>
      <x:c r="L17" s="25">
        <x:f>D6</x:f>
        <x:v>2</x:v>
      </x:c>
      <x:c r="M17" s="26">
        <x:f>SQRT((F6-$F$12)^2+(G6-$G$12)^2)</x:f>
        <x:v>0.5</x:v>
      </x:c>
      <x:c r="N17" s="37">
        <x:f>COUNTIF($M$17:$M$22,"&lt;"&amp;M17)+COUNTIF($M$17:M17,M17)</x:f>
        <x:v>1</x:v>
      </x:c>
      <x:c r="O17" s="37">
        <x:f>IF(N17&lt;=$L$9,1,0)</x:f>
        <x:v>1</x:v>
      </x:c>
      <x:c r="P17" s="26">
        <x:f>IF(O17=1,1/(M17^2),0)</x:f>
        <x:v>4</x:v>
      </x:c>
    </x:row>
    <x:row r="18">
      <x:c r="A18" s="2" t="n"/>
      <x:c r="B18" s="2" t="n"/>
      <x:c r="C18" s="2" t="n"/>
      <x:c r="D18" s="2" t="n"/>
      <x:c r="E18" s="2" t="n"/>
      <x:c r="F18" s="2" t="n"/>
      <x:c r="G18" s="2" t="n"/>
      <x:c r="H18" s="2" t="n"/>
      <x:c r="I18" s="2" t="n"/>
      <x:c r="J18" s="2" t="n"/>
      <x:c r="K18" s="25">
        <x:f>A7</x:f>
        <x:v>2</x:v>
      </x:c>
      <x:c r="L18" s="25">
        <x:f>D7</x:f>
        <x:v>3</x:v>
      </x:c>
      <x:c r="M18" s="26">
        <x:f>SQRT((F7-$F$12)^2+(G7-$G$12)^2)</x:f>
        <x:v>0.5</x:v>
      </x:c>
      <x:c r="N18" s="37">
        <x:f>COUNTIF($M$17:$M$22,"&lt;"&amp;M18)+COUNTIF($M$17:M18,M18)</x:f>
        <x:v>2</x:v>
      </x:c>
      <x:c r="O18" s="37">
        <x:f>IF(N18&lt;=$L$9,1,0)</x:f>
        <x:v>1</x:v>
      </x:c>
      <x:c r="P18" s="26">
        <x:f>IF(O18=1,1/(M18^2),0)</x:f>
        <x:v>4</x:v>
      </x:c>
    </x:row>
    <x:row r="19">
      <x:c r="A19" s="2" t="n"/>
      <x:c r="B19" s="2" t="n"/>
      <x:c r="C19" s="2" t="n"/>
      <x:c r="D19" s="2" t="n"/>
      <x:c r="E19" s="2" t="n"/>
      <x:c r="F19" s="2" t="n"/>
      <x:c r="G19" s="2" t="n"/>
      <x:c r="H19" s="2" t="n"/>
      <x:c r="I19" s="2" t="n"/>
      <x:c r="J19" s="2" t="n"/>
      <x:c r="K19" s="25">
        <x:f>A8</x:f>
        <x:v>3</x:v>
      </x:c>
      <x:c r="L19" s="25">
        <x:f>D8</x:f>
        <x:v>2</x:v>
      </x:c>
      <x:c r="M19" s="26">
        <x:f>SQRT((F8-$F$12)^2+(G8-$G$12)^2)</x:f>
        <x:v>1.118033988749895</x:v>
      </x:c>
      <x:c r="N19" s="37">
        <x:f>COUNTIF($M$17:$M$22,"&lt;"&amp;M19)+COUNTIF($M$17:M19,M19)</x:f>
        <x:v>5</x:v>
      </x:c>
      <x:c r="O19" s="37">
        <x:f>IF(N19&lt;=$L$9,1,0)</x:f>
        <x:v>0</x:v>
      </x:c>
      <x:c r="P19" s="26">
        <x:f>IF(O19=1,1/(M19^2),0)</x:f>
        <x:v>0</x:v>
      </x:c>
    </x:row>
    <x:row r="20">
      <x:c r="A20" s="2" t="n"/>
      <x:c r="B20" s="2" t="n"/>
      <x:c r="C20" s="2" t="n"/>
      <x:c r="D20" s="2" t="n"/>
      <x:c r="E20" s="2" t="n"/>
      <x:c r="F20" s="2" t="n"/>
      <x:c r="G20" s="2" t="n"/>
      <x:c r="H20" s="2" t="n"/>
      <x:c r="I20" s="2" t="n"/>
      <x:c r="J20" s="2" t="n"/>
      <x:c r="K20" s="25">
        <x:f>A9</x:f>
        <x:v>4</x:v>
      </x:c>
      <x:c r="L20" s="25">
        <x:f>D9</x:f>
        <x:v>3</x:v>
      </x:c>
      <x:c r="M20" s="26">
        <x:f>SQRT((F9-$F$12)^2+(G9-$G$12)^2)</x:f>
        <x:v>0.5</x:v>
      </x:c>
      <x:c r="N20" s="37">
        <x:f>COUNTIF($M$17:$M$22,"&lt;"&amp;M20)+COUNTIF($M$17:M20,M20)</x:f>
        <x:v>3</x:v>
      </x:c>
      <x:c r="O20" s="37">
        <x:f>IF(N20&lt;=$L$9,1,0)</x:f>
        <x:v>1</x:v>
      </x:c>
      <x:c r="P20" s="26">
        <x:f>IF(O20=1,1/(M20^2),0)</x:f>
        <x:v>4</x:v>
      </x:c>
    </x:row>
    <x:row r="21">
      <x:c r="A21" s="2" t="n"/>
      <x:c r="B21" s="2" t="n"/>
      <x:c r="C21" s="2" t="n"/>
      <x:c r="D21" s="2" t="n"/>
      <x:c r="E21" s="2" t="n"/>
      <x:c r="F21" s="2" t="n"/>
      <x:c r="G21" s="2" t="n"/>
      <x:c r="H21" s="2" t="n"/>
      <x:c r="I21" s="2" t="n"/>
      <x:c r="J21" s="2" t="n"/>
      <x:c r="K21" s="25">
        <x:f>A10</x:f>
        <x:v>5</x:v>
      </x:c>
      <x:c r="L21" s="25">
        <x:f>D10</x:f>
        <x:v>2</x:v>
      </x:c>
      <x:c r="M21" s="26">
        <x:f>SQRT((F10-$F$12)^2+(G10-$G$12)^2)</x:f>
        <x:v>0.5</x:v>
      </x:c>
      <x:c r="N21" s="37">
        <x:f>COUNTIF($M$17:$M$22,"&lt;"&amp;M21)+COUNTIF($M$17:M21,M21)</x:f>
        <x:v>4</x:v>
      </x:c>
      <x:c r="O21" s="37">
        <x:f>IF(N21&lt;=$L$9,1,0)</x:f>
        <x:v>0</x:v>
      </x:c>
      <x:c r="P21" s="26">
        <x:f>IF(O21=1,1/(M21^2),0)</x:f>
        <x:v>0</x:v>
      </x:c>
    </x:row>
    <x:row r="22">
      <x:c r="A22" s="2" t="n"/>
      <x:c r="B22" s="2" t="n"/>
      <x:c r="C22" s="2" t="n"/>
      <x:c r="D22" s="2" t="n"/>
      <x:c r="E22" s="2" t="n"/>
      <x:c r="F22" s="2" t="n"/>
      <x:c r="G22" s="2" t="n"/>
      <x:c r="H22" s="2" t="n"/>
      <x:c r="I22" s="2" t="n"/>
      <x:c r="J22" s="2" t="n"/>
      <x:c r="K22" s="25">
        <x:f>A11</x:f>
        <x:v>6</x:v>
      </x:c>
      <x:c r="L22" s="25">
        <x:f>D11</x:f>
        <x:v>3</x:v>
      </x:c>
      <x:c r="M22" s="26">
        <x:f>SQRT((F11-$F$12)^2+(G11-$G$12)^2)</x:f>
        <x:v>1.118033988749895</x:v>
      </x:c>
      <x:c r="N22" s="37">
        <x:f>COUNTIF($M$17:$M$22,"&lt;"&amp;M22)+COUNTIF($M$17:M22,M22)</x:f>
        <x:v>6</x:v>
      </x:c>
      <x:c r="O22" s="37">
        <x:f>IF(N22&lt;=$L$9,1,0)</x:f>
        <x:v>0</x:v>
      </x:c>
      <x:c r="P22" s="26">
        <x:f>IF(O22=1,1/(M22^2),0)</x:f>
        <x:v>0</x:v>
      </x:c>
    </x:row>
    <x:row r="23">
      <x:c r="A23" s="2" t="n"/>
      <x:c r="B23" s="2" t="n"/>
      <x:c r="C23" s="2" t="n"/>
      <x:c r="D23" s="2" t="n"/>
      <x:c r="E23" s="2" t="n"/>
      <x:c r="F23" s="2" t="n"/>
      <x:c r="G23" s="2" t="n"/>
      <x:c r="H23" s="2" t="n"/>
      <x:c r="I23" s="2" t="n"/>
      <x:c r="J23" s="2" t="n"/>
      <x:c r="K23" s="7" t="inlineStr">
        <x:is>
          <x:t xml:space="preserve">Kelas</x:t>
        </x:is>
      </x:c>
      <x:c r="L23" s="7" t="inlineStr">
        <x:is>
          <x:t xml:space="preserve">Skor Bobot</x:t>
        </x:is>
      </x:c>
      <x:c r="M23" s="2" t="n"/>
      <x:c r="N23" s="2" t="n"/>
      <x:c r="O23" s="2" t="n"/>
      <x:c r="P23" s="2" t="n"/>
    </x:row>
    <x:row r="24">
      <x:c r="A24" s="2" t="n"/>
      <x:c r="B24" s="2" t="n"/>
      <x:c r="C24" s="2" t="n"/>
      <x:c r="D24" s="2" t="n"/>
      <x:c r="E24" s="2" t="n"/>
      <x:c r="F24" s="2" t="n"/>
      <x:c r="G24" s="2" t="n"/>
      <x:c r="H24" s="2" t="n"/>
      <x:c r="I24" s="2" t="n"/>
      <x:c r="J24" s="2" t="n"/>
      <x:c r="K24" s="37" t="n">
        <x:v>2</x:v>
      </x:c>
      <x:c r="L24" s="37">
        <x:f>SUMPRODUCT(($L$17:$L$22=K24)*$P$17:$P$22)</x:f>
        <x:v>4</x:v>
      </x:c>
      <x:c r="M24" s="2" t="n"/>
      <x:c r="N24" s="2" t="n"/>
      <x:c r="O24" s="2" t="n"/>
      <x:c r="P24" s="2" t="n"/>
    </x:row>
    <x:row r="25">
      <x:c r="A25" s="2" t="n"/>
      <x:c r="B25" s="2" t="n"/>
      <x:c r="C25" s="2" t="n"/>
      <x:c r="D25" s="2" t="n"/>
      <x:c r="E25" s="2" t="n"/>
      <x:c r="F25" s="2" t="n"/>
      <x:c r="G25" s="2" t="n"/>
      <x:c r="H25" s="2" t="n"/>
      <x:c r="I25" s="2" t="n"/>
      <x:c r="J25" s="2" t="n"/>
      <x:c r="K25" s="37" t="n">
        <x:v>3</x:v>
      </x:c>
      <x:c r="L25" s="37">
        <x:f>SUMPRODUCT(($L$17:$L$22=K25)*$P$17:$P$22)</x:f>
        <x:v>8</x:v>
      </x:c>
      <x:c r="M25" s="2" t="n"/>
      <x:c r="N25" s="2" t="n"/>
      <x:c r="O25" s="2" t="n"/>
      <x:c r="P25" s="2" t="n"/>
    </x:row>
  </x:sheetData>
  <x:mergeCells>
    <x:mergeCell ref="A1:P1"/>
    <x:mergeCell ref="F4:H4"/>
    <x:mergeCell ref="K4:P4"/>
    <x:mergeCell ref="K15:P15"/>
  </x:mergeCells>
  <x:pageMargins left="0.7" right="0.7" top="0.75" bottom="0.75" header="0.3" footer="0.3"/>
  <x:legacyDrawing xmlns:r="http://schemas.openxmlformats.org/officeDocument/2006/relationships" r:id="R59e9dad50c79419e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4" customWidth="1"/>
    <x:col min="3" max="3" width="66" customWidth="1"/>
    <x:col min="4" max="4" width="14" customWidth="1"/>
    <x:col min="5" max="5" width="12" customWidth="1"/>
  </x:cols>
  <x:sheetData>
    <x:row r="1">
      <x:c r="A1" s="38" t="inlineStr">
        <x:is>
          <x:t xml:space="preserve">Ringkasan Rumus dan Langkah Manual (Koreksi)</x:t>
        </x:is>
      </x:c>
    </x:row>
    <x:row r="3">
      <x:c r="A3" s="39" t="inlineStr">
        <x:is>
          <x:t xml:space="preserve">No</x:t>
        </x:is>
      </x:c>
      <x:c r="B3" s="39" t="inlineStr">
        <x:is>
          <x:t xml:space="preserve">Langkah</x:t>
        </x:is>
      </x:c>
      <x:c r="C3" s="39" t="inlineStr">
        <x:is>
          <x:t xml:space="preserve">Rumus Excel</x:t>
        </x:is>
      </x:c>
      <x:c r="D3" s="39" t="inlineStr">
        <x:is>
          <x:t xml:space="preserve">Referensi</x:t>
        </x:is>
      </x:c>
      <x:c r="E3" s="39" t="inlineStr">
        <x:is>
          <x:t xml:space="preserve">Hasil</x:t>
        </x:is>
      </x:c>
    </x:row>
    <x:row r="4">
      <x:c r="A4" s="40" t="n">
        <x:v>1</x:v>
      </x:c>
      <x:c r="B4" s="41" t="inlineStr">
        <x:is>
          <x:t xml:space="preserve">Normalisasi IPK baris 7</x:t>
        </x:is>
      </x:c>
      <x:c r="C4" s="41" t="inlineStr">
        <x:is>
          <x:t xml:space="preserve">'=(WKNN!B12-WKNN!L6)/(WKNN!M6-WKNN!L6)</x:t>
        </x:is>
      </x:c>
      <x:c r="D4" s="41" t="inlineStr">
        <x:is>
          <x:t xml:space="preserve">WKNN!F12</x:t>
        </x:is>
      </x:c>
      <x:c r="E4" s="42">
        <x:f>WKNN!F12</x:f>
        <x:v>0</x:v>
      </x:c>
    </x:row>
    <x:row r="5">
      <x:c r="A5" s="40" t="n">
        <x:v>2</x:v>
      </x:c>
      <x:c r="B5" s="41" t="inlineStr">
        <x:is>
          <x:t xml:space="preserve">Normalisasi PO baris 7</x:t>
        </x:is>
      </x:c>
      <x:c r="C5" s="41" t="inlineStr">
        <x:is>
          <x:t xml:space="preserve">'=(WKNN!C12-WKNN!L7)/(WKNN!M7-WKNN!L7)</x:t>
        </x:is>
      </x:c>
      <x:c r="D5" s="41" t="inlineStr">
        <x:is>
          <x:t xml:space="preserve">WKNN!G12</x:t>
        </x:is>
      </x:c>
      <x:c r="E5" s="42">
        <x:f>WKNN!G12</x:f>
        <x:v>0.5</x:v>
      </x:c>
    </x:row>
    <x:row r="6">
      <x:c r="A6" s="40" t="n">
        <x:v>3</x:v>
      </x:c>
      <x:c r="B6" s="41" t="inlineStr">
        <x:is>
          <x:t xml:space="preserve">Jarak tetangga (contoh NO=1)</x:t>
        </x:is>
      </x:c>
      <x:c r="C6" s="41" t="inlineStr">
        <x:is>
          <x:t xml:space="preserve">'=SQRT((WKNN!F6-WKNN!F12)^2+(WKNN!G6-WKNN!G12)^2)</x:t>
        </x:is>
      </x:c>
      <x:c r="D6" s="41" t="inlineStr">
        <x:is>
          <x:t xml:space="preserve">WKNN!M17</x:t>
        </x:is>
      </x:c>
      <x:c r="E6" s="42">
        <x:f>WKNN!M17</x:f>
        <x:v>0.5</x:v>
      </x:c>
    </x:row>
    <x:row r="7">
      <x:c r="A7" s="40" t="n">
        <x:v>4</x:v>
      </x:c>
      <x:c r="B7" s="41" t="inlineStr">
        <x:is>
          <x:t xml:space="preserve">Ranking jarak (tie by urutan data)</x:t>
        </x:is>
      </x:c>
      <x:c r="C7" s="41" t="inlineStr">
        <x:is>
          <x:t xml:space="preserve">'=COUNTIF(WKNN!$M$17:$M$22,"&lt;"&amp;WKNN!M17)+COUNTIF(WKNN!$M$17:WKNN!M17,WKNN!M17)</x:t>
        </x:is>
      </x:c>
      <x:c r="D7" s="41" t="inlineStr">
        <x:is>
          <x:t xml:space="preserve">WKNN!N17</x:t>
        </x:is>
      </x:c>
      <x:c r="E7" s="47">
        <x:f>WKNN!N17</x:f>
        <x:v>1</x:v>
      </x:c>
    </x:row>
    <x:row r="8">
      <x:c r="A8" s="40" t="n">
        <x:v>5</x:v>
      </x:c>
      <x:c r="B8" s="41" t="inlineStr">
        <x:is>
          <x:t xml:space="preserve">Seleksi 3 tetangga terdekat</x:t>
        </x:is>
      </x:c>
      <x:c r="C8" s="41" t="inlineStr">
        <x:is>
          <x:t xml:space="preserve">'=IF(WKNN!N17&lt;=WKNN!L9,1,0)</x:t>
        </x:is>
      </x:c>
      <x:c r="D8" s="41" t="inlineStr">
        <x:is>
          <x:t xml:space="preserve">WKNN!O17</x:t>
        </x:is>
      </x:c>
      <x:c r="E8" s="47">
        <x:f>WKNN!O17</x:f>
        <x:v>1</x:v>
      </x:c>
    </x:row>
    <x:row r="9">
      <x:c r="A9" s="40" t="n">
        <x:v>6</x:v>
      </x:c>
      <x:c r="B9" s="41" t="inlineStr">
        <x:is>
          <x:t xml:space="preserve">Bobot WKNN</x:t>
        </x:is>
      </x:c>
      <x:c r="C9" s="41" t="inlineStr">
        <x:is>
          <x:t xml:space="preserve">'=IF(WKNN!O17=1,1/(WKNN!M17^2),0)</x:t>
        </x:is>
      </x:c>
      <x:c r="D9" s="41" t="inlineStr">
        <x:is>
          <x:t xml:space="preserve">WKNN!P17</x:t>
        </x:is>
      </x:c>
      <x:c r="E9" s="47">
        <x:f>WKNN!P17</x:f>
        <x:v>4</x:v>
      </x:c>
    </x:row>
    <x:row r="10">
      <x:c r="A10" s="40" t="n">
        <x:v>7</x:v>
      </x:c>
      <x:c r="B10" s="41" t="inlineStr">
        <x:is>
          <x:t xml:space="preserve">Skor bobot kelas 2</x:t>
        </x:is>
      </x:c>
      <x:c r="C10" s="41" t="inlineStr">
        <x:is>
          <x:t xml:space="preserve">'=SUMPRODUCT((WKNN!L17:L22=2)*WKNN!P17:P22)</x:t>
        </x:is>
      </x:c>
      <x:c r="D10" s="41" t="inlineStr">
        <x:is>
          <x:t xml:space="preserve">WKNN!L24</x:t>
        </x:is>
      </x:c>
      <x:c r="E10" s="47">
        <x:f>WKNN!L24</x:f>
        <x:v>4</x:v>
      </x:c>
    </x:row>
    <x:row r="11">
      <x:c r="A11" s="40" t="n">
        <x:v>8</x:v>
      </x:c>
      <x:c r="B11" s="41" t="inlineStr">
        <x:is>
          <x:t xml:space="preserve">Skor bobot kelas 3</x:t>
        </x:is>
      </x:c>
      <x:c r="C11" s="41" t="inlineStr">
        <x:is>
          <x:t xml:space="preserve">'=SUMPRODUCT((WKNN!L17:L22=3)*WKNN!P17:P22)</x:t>
        </x:is>
      </x:c>
      <x:c r="D11" s="41" t="inlineStr">
        <x:is>
          <x:t xml:space="preserve">WKNN!L25</x:t>
        </x:is>
      </x:c>
      <x:c r="E11" s="47">
        <x:f>WKNN!L25</x:f>
        <x:v>8</x:v>
      </x:c>
    </x:row>
    <x:row r="12">
      <x:c r="A12" s="40" t="n">
        <x:v>9</x:v>
      </x:c>
      <x:c r="B12" s="41" t="inlineStr">
        <x:is>
          <x:t xml:space="preserve">Prediksi kelas</x:t>
        </x:is>
      </x:c>
      <x:c r="C12" s="41" t="inlineStr">
        <x:is>
          <x:t xml:space="preserve">'=INDEX(WKNN!K24:K25,MATCH(MAX(WKNN!L24:L25),WKNN!L24:L25,0))</x:t>
        </x:is>
      </x:c>
      <x:c r="D12" s="41" t="inlineStr">
        <x:is>
          <x:t xml:space="preserve">WKNN!L10</x:t>
        </x:is>
      </x:c>
      <x:c r="E12" s="47">
        <x:f>WKNN!L10</x:f>
        <x:v>3</x:v>
      </x:c>
    </x:row>
    <x:row r="13">
      <x:c r="A13" s="40" t="n">
        <x:v>10</x:v>
      </x:c>
      <x:c r="B13" s="41" t="inlineStr">
        <x:is>
          <x:t xml:space="preserve">Isi missing value JMLH NO=7</x:t>
        </x:is>
      </x:c>
      <x:c r="C13" s="41" t="inlineStr">
        <x:is>
          <x:t xml:space="preserve">'=WKNN!L10</x:t>
        </x:is>
      </x:c>
      <x:c r="D13" s="41" t="inlineStr">
        <x:is>
          <x:t xml:space="preserve">WKNN!D12</x:t>
        </x:is>
      </x:c>
      <x:c r="E13" s="47">
        <x:f>WKNN!D12</x:f>
        <x:v>3</x:v>
      </x:c>
    </x:row>
    <x:row r="14">
      <x:c r="E14" s="43" t="n"/>
    </x:row>
    <x:row r="16">
      <x:c r="A16" s="44" t="inlineStr">
        <x:is>
          <x:t xml:space="preserve">Kesimpulan</x:t>
        </x:is>
      </x:c>
      <x:c r="B16" t="inlineStr">
        <x:is>
          <x:t xml:space="preserve">Hasil imputasi WKNN untuk baris NO 7, kolom JMLH</x:t>
        </x:is>
      </x:c>
      <x:c r="E16" s="45">
        <x:f>WKNN!L10</x:f>
        <x:v>3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10" customWidth="1"/>
    <x:col min="3" max="3" width="14" customWidth="1"/>
    <x:col min="4" max="4" width="10" customWidth="1"/>
    <x:col min="5" max="5" width="3" customWidth="1"/>
    <x:col min="6" max="6" width="11" customWidth="1"/>
    <x:col min="7" max="7" width="11" customWidth="1"/>
    <x:col min="8" max="8" width="11" customWidth="1"/>
    <x:col min="9" max="9" width="3" customWidth="1"/>
    <x:col min="10" max="10" width="11" customWidth="1"/>
    <x:col min="11" max="11" width="11" customWidth="1"/>
    <x:col min="12" max="12" width="11" customWidth="1"/>
    <x:col min="13" max="13" width="3" customWidth="1"/>
    <x:col min="14" max="14" width="12" customWidth="1"/>
    <x:col min="15" max="15" width="12" customWidth="1"/>
    <x:col min="16" max="16" width="12" customWidth="1"/>
    <x:col min="17" max="17" width="3" customWidth="1"/>
    <x:col min="18" max="18" width="11" customWidth="1"/>
    <x:col min="19" max="19" width="12" customWidth="1"/>
    <x:col min="20" max="20" width="12" customWidth="1"/>
    <x:col min="21" max="21" width="12" customWidth="1"/>
    <x:col min="22" max="22" width="12" customWidth="1"/>
  </x:cols>
  <x:sheetData>
    <x:row r="1" ht="24" customHeight="1">
      <x:c r="A1" s="48" t="inlineStr">
        <x:is>
          <x:t xml:space="preserve">Perbandingan Normalisasi: Min-Max, Z-Score, dan Data Scaling</x:t>
        </x:is>
      </x:c>
    </x:row>
    <x:row r="4">
      <x:c r="A4" s="5" t="inlineStr">
        <x:is>
          <x:t xml:space="preserve">NO</x:t>
        </x:is>
      </x:c>
      <x:c r="B4" s="5" t="inlineStr">
        <x:is>
          <x:t xml:space="preserve">IPK</x:t>
        </x:is>
      </x:c>
      <x:c r="C4" s="5" t="inlineStr">
        <x:is>
          <x:t xml:space="preserve">PO</x:t>
        </x:is>
      </x:c>
      <x:c r="D4" s="5" t="inlineStr">
        <x:is>
          <x:t xml:space="preserve">JMLH</x:t>
        </x:is>
      </x:c>
      <x:c r="F4" s="5" t="inlineStr">
        <x:is>
          <x:t xml:space="preserve">Min-Max</x:t>
        </x:is>
      </x:c>
      <x:c r="G4" s="49" t="n"/>
      <x:c r="H4" s="49" t="n"/>
      <x:c r="J4" s="5" t="inlineStr">
        <x:is>
          <x:t xml:space="preserve">Z-Score</x:t>
        </x:is>
      </x:c>
      <x:c r="K4" s="49" t="n"/>
      <x:c r="L4" s="49" t="n"/>
      <x:c r="N4" s="5" t="inlineStr">
        <x:is>
          <x:t xml:space="preserve">Data Scaling (x/max)</x:t>
        </x:is>
      </x:c>
      <x:c r="O4" s="49" t="n"/>
      <x:c r="P4" s="49" t="n"/>
      <x:c r="R4" s="5" t="inlineStr">
        <x:is>
          <x:t xml:space="preserve">Parameter</x:t>
        </x:is>
      </x:c>
      <x:c r="S4" s="49" t="n"/>
      <x:c r="T4" s="49" t="n"/>
      <x:c r="U4" s="49" t="n"/>
      <x:c r="V4" s="49" t="n"/>
    </x:row>
    <x:row r="5">
      <x:c r="F5" s="7" t="inlineStr">
        <x:is>
          <x:t xml:space="preserve">IPK</x:t>
        </x:is>
      </x:c>
      <x:c r="G5" s="7" t="inlineStr">
        <x:is>
          <x:t xml:space="preserve">PO</x:t>
        </x:is>
      </x:c>
      <x:c r="H5" s="7" t="inlineStr">
        <x:is>
          <x:t xml:space="preserve">JMLH</x:t>
        </x:is>
      </x:c>
      <x:c r="J5" s="7" t="inlineStr">
        <x:is>
          <x:t xml:space="preserve">IPK</x:t>
        </x:is>
      </x:c>
      <x:c r="K5" s="7" t="inlineStr">
        <x:is>
          <x:t xml:space="preserve">PO</x:t>
        </x:is>
      </x:c>
      <x:c r="L5" s="7" t="inlineStr">
        <x:is>
          <x:t xml:space="preserve">JMLH</x:t>
        </x:is>
      </x:c>
      <x:c r="N5" s="7" t="inlineStr">
        <x:is>
          <x:t xml:space="preserve">IPK</x:t>
        </x:is>
      </x:c>
      <x:c r="O5" s="7" t="inlineStr">
        <x:is>
          <x:t xml:space="preserve">PO</x:t>
        </x:is>
      </x:c>
      <x:c r="P5" s="7" t="inlineStr">
        <x:is>
          <x:t xml:space="preserve">JMLH</x:t>
        </x:is>
      </x:c>
      <x:c r="R5" s="7" t="inlineStr">
        <x:is>
          <x:t xml:space="preserve">Metode</x:t>
        </x:is>
      </x:c>
      <x:c r="S5" s="7" t="inlineStr">
        <x:is>
          <x:t xml:space="preserve">Variabel</x:t>
        </x:is>
      </x:c>
      <x:c r="T5" s="7" t="inlineStr">
        <x:is>
          <x:t xml:space="preserve">Param 1</x:t>
        </x:is>
      </x:c>
      <x:c r="U5" s="7" t="inlineStr">
        <x:is>
          <x:t xml:space="preserve">Param 2</x:t>
        </x:is>
      </x:c>
      <x:c r="V5" s="7" t="inlineStr">
        <x:is>
          <x:t xml:space="preserve">Rumus</x:t>
        </x:is>
      </x:c>
    </x:row>
    <x:row r="6">
      <x:c r="A6" s="50">
        <x:f>WKNN!A6</x:f>
        <x:v>1</x:v>
      </x:c>
      <x:c r="B6" s="9">
        <x:f>WKNN!B6</x:f>
        <x:v>2</x:v>
      </x:c>
      <x:c r="C6" s="10">
        <x:f>WKNN!C6</x:f>
        <x:v>200000</x:v>
      </x:c>
      <x:c r="D6" s="11">
        <x:f>WKNN!D6</x:f>
        <x:v>2</x:v>
      </x:c>
      <x:c r="F6" s="12">
        <x:f>(B6-$T$6)/($U$6-$T$6)</x:f>
        <x:v>0</x:v>
      </x:c>
      <x:c r="G6" s="12">
        <x:f>(C6-$T$7)/($U$7-$T$7)</x:f>
        <x:v>0</x:v>
      </x:c>
      <x:c r="H6" s="12">
        <x:f>(D6-$T$8)/($U$8-$T$8)</x:f>
        <x:v>0</x:v>
      </x:c>
      <x:c r="J6" s="12">
        <x:f>(B6-$T$9)/$U$9</x:f>
        <x:v>-1.224744871391589</x:v>
      </x:c>
      <x:c r="K6" s="12">
        <x:f>(C6-$T$10)/$U$10</x:f>
        <x:v>-0.8944271909999162</x:v>
      </x:c>
      <x:c r="L6" s="12">
        <x:f>(D6-$T$11)/$U$11</x:f>
        <x:v>-1</x:v>
      </x:c>
      <x:c r="N6" s="12">
        <x:f>B6/$T$12</x:f>
        <x:v>0.5</x:v>
      </x:c>
      <x:c r="O6" s="12">
        <x:f>C6/$T$13</x:f>
        <x:v>0.5</x:v>
      </x:c>
      <x:c r="P6" s="12">
        <x:f>D6/$T$14</x:f>
        <x:v>0.6666666666666666</x:v>
      </x:c>
      <x:c r="R6" s="51" t="inlineStr">
        <x:is>
          <x:t xml:space="preserve">Min-Max</x:t>
        </x:is>
      </x:c>
      <x:c r="S6" s="52" t="inlineStr">
        <x:is>
          <x:t xml:space="preserve">IPK</x:t>
        </x:is>
      </x:c>
      <x:c r="T6" s="53">
        <x:f>MIN($B$6:$B$11)</x:f>
        <x:v>2</x:v>
      </x:c>
      <x:c r="U6" s="53">
        <x:f>MAX($B$6:$B$11)</x:f>
        <x:v>4</x:v>
      </x:c>
      <x:c r="V6" s="52" t="inlineStr">
        <x:is>
          <x:t xml:space="preserve">'=(x-Min)/(Max-Min)</x:t>
        </x:is>
      </x:c>
    </x:row>
    <x:row r="7">
      <x:c r="A7" s="50">
        <x:f>WKNN!A7</x:f>
        <x:v>2</x:v>
      </x:c>
      <x:c r="B7" s="9">
        <x:f>WKNN!B7</x:f>
        <x:v>3</x:v>
      </x:c>
      <x:c r="C7" s="10">
        <x:f>WKNN!C7</x:f>
        <x:v>300000</x:v>
      </x:c>
      <x:c r="D7" s="11">
        <x:f>WKNN!D7</x:f>
        <x:v>3</x:v>
      </x:c>
      <x:c r="F7" s="12">
        <x:f>(B7-$T$6)/($U$6-$T$6)</x:f>
        <x:v>0.5</x:v>
      </x:c>
      <x:c r="G7" s="12">
        <x:f>(C7-$T$7)/($U$7-$T$7)</x:f>
        <x:v>0.5</x:v>
      </x:c>
      <x:c r="H7" s="12">
        <x:f>(D7-$T$8)/($U$8-$T$8)</x:f>
        <x:v>1</x:v>
      </x:c>
      <x:c r="J7" s="12">
        <x:f>(B7-$T$9)/$U$9</x:f>
        <x:v>0</x:v>
      </x:c>
      <x:c r="K7" s="12">
        <x:f>(C7-$T$10)/$U$10</x:f>
        <x:v>0.4472135954999577</x:v>
      </x:c>
      <x:c r="L7" s="12">
        <x:f>(D7-$T$11)/$U$11</x:f>
        <x:v>1</x:v>
      </x:c>
      <x:c r="N7" s="12">
        <x:f>B7/$T$12</x:f>
        <x:v>0.75</x:v>
      </x:c>
      <x:c r="O7" s="12">
        <x:f>C7/$T$13</x:f>
        <x:v>0.75</x:v>
      </x:c>
      <x:c r="P7" s="12">
        <x:f>D7/$T$14</x:f>
        <x:v>1</x:v>
      </x:c>
      <x:c r="R7" s="51" t="inlineStr">
        <x:is>
          <x:t xml:space="preserve">Min-Max</x:t>
        </x:is>
      </x:c>
      <x:c r="S7" s="52" t="inlineStr">
        <x:is>
          <x:t xml:space="preserve">PO</x:t>
        </x:is>
      </x:c>
      <x:c r="T7" s="53">
        <x:f>MIN($C$6:$C$11)</x:f>
        <x:v>200000</x:v>
      </x:c>
      <x:c r="U7" s="53">
        <x:f>MAX($C$6:$C$11)</x:f>
        <x:v>400000</x:v>
      </x:c>
      <x:c r="V7" s="52" t="inlineStr">
        <x:is>
          <x:t xml:space="preserve">'=(x-Min)/(Max-Min)</x:t>
        </x:is>
      </x:c>
    </x:row>
    <x:row r="8">
      <x:c r="A8" s="50">
        <x:f>WKNN!A8</x:f>
        <x:v>3</x:v>
      </x:c>
      <x:c r="B8" s="9">
        <x:f>WKNN!B8</x:f>
        <x:v>4</x:v>
      </x:c>
      <x:c r="C8" s="10">
        <x:f>WKNN!C8</x:f>
        <x:v>200000</x:v>
      </x:c>
      <x:c r="D8" s="11">
        <x:f>WKNN!D8</x:f>
        <x:v>2</x:v>
      </x:c>
      <x:c r="F8" s="12">
        <x:f>(B8-$T$6)/($U$6-$T$6)</x:f>
        <x:v>1</x:v>
      </x:c>
      <x:c r="G8" s="12">
        <x:f>(C8-$T$7)/($U$7-$T$7)</x:f>
        <x:v>0</x:v>
      </x:c>
      <x:c r="H8" s="12">
        <x:f>(D8-$T$8)/($U$8-$T$8)</x:f>
        <x:v>0</x:v>
      </x:c>
      <x:c r="J8" s="12">
        <x:f>(B8-$T$9)/$U$9</x:f>
        <x:v>1.224744871391589</x:v>
      </x:c>
      <x:c r="K8" s="12">
        <x:f>(C8-$T$10)/$U$10</x:f>
        <x:v>-0.8944271909999162</x:v>
      </x:c>
      <x:c r="L8" s="12">
        <x:f>(D8-$T$11)/$U$11</x:f>
        <x:v>-1</x:v>
      </x:c>
      <x:c r="N8" s="12">
        <x:f>B8/$T$12</x:f>
        <x:v>1</x:v>
      </x:c>
      <x:c r="O8" s="12">
        <x:f>C8/$T$13</x:f>
        <x:v>0.5</x:v>
      </x:c>
      <x:c r="P8" s="12">
        <x:f>D8/$T$14</x:f>
        <x:v>0.6666666666666666</x:v>
      </x:c>
      <x:c r="R8" s="51" t="inlineStr">
        <x:is>
          <x:t xml:space="preserve">Min-Max</x:t>
        </x:is>
      </x:c>
      <x:c r="S8" s="52" t="inlineStr">
        <x:is>
          <x:t xml:space="preserve">JMLH</x:t>
        </x:is>
      </x:c>
      <x:c r="T8" s="53">
        <x:f>MIN($D$6:$D$11)</x:f>
        <x:v>2</x:v>
      </x:c>
      <x:c r="U8" s="53">
        <x:f>MAX($D$6:$D$11)</x:f>
        <x:v>3</x:v>
      </x:c>
      <x:c r="V8" s="52" t="inlineStr">
        <x:is>
          <x:t xml:space="preserve">'=(x-Min)/(Max-Min)</x:t>
        </x:is>
      </x:c>
    </x:row>
    <x:row r="9">
      <x:c r="A9" s="50">
        <x:f>WKNN!A9</x:f>
        <x:v>4</x:v>
      </x:c>
      <x:c r="B9" s="9">
        <x:f>WKNN!B9</x:f>
        <x:v>2</x:v>
      </x:c>
      <x:c r="C9" s="10">
        <x:f>WKNN!C9</x:f>
        <x:v>200000</x:v>
      </x:c>
      <x:c r="D9" s="11">
        <x:f>WKNN!D9</x:f>
        <x:v>3</x:v>
      </x:c>
      <x:c r="F9" s="12">
        <x:f>(B9-$T$6)/($U$6-$T$6)</x:f>
        <x:v>0</x:v>
      </x:c>
      <x:c r="G9" s="12">
        <x:f>(C9-$T$7)/($U$7-$T$7)</x:f>
        <x:v>0</x:v>
      </x:c>
      <x:c r="H9" s="12">
        <x:f>(D9-$T$8)/($U$8-$T$8)</x:f>
        <x:v>1</x:v>
      </x:c>
      <x:c r="J9" s="12">
        <x:f>(B9-$T$9)/$U$9</x:f>
        <x:v>-1.224744871391589</x:v>
      </x:c>
      <x:c r="K9" s="12">
        <x:f>(C9-$T$10)/$U$10</x:f>
        <x:v>-0.8944271909999162</x:v>
      </x:c>
      <x:c r="L9" s="12">
        <x:f>(D9-$T$11)/$U$11</x:f>
        <x:v>1</x:v>
      </x:c>
      <x:c r="N9" s="12">
        <x:f>B9/$T$12</x:f>
        <x:v>0.5</x:v>
      </x:c>
      <x:c r="O9" s="12">
        <x:f>C9/$T$13</x:f>
        <x:v>0.5</x:v>
      </x:c>
      <x:c r="P9" s="12">
        <x:f>D9/$T$14</x:f>
        <x:v>1</x:v>
      </x:c>
      <x:c r="R9" s="51" t="inlineStr">
        <x:is>
          <x:t xml:space="preserve">Z-Score</x:t>
        </x:is>
      </x:c>
      <x:c r="S9" s="52" t="inlineStr">
        <x:is>
          <x:t xml:space="preserve">IPK</x:t>
        </x:is>
      </x:c>
      <x:c r="T9" s="53">
        <x:f>AVERAGE($B$6:$B$11)</x:f>
        <x:v>3</x:v>
      </x:c>
      <x:c r="U9" s="53">
        <x:f>STDEV.P($B$6:$B$11)</x:f>
        <x:v>0.816496580927726</x:v>
      </x:c>
      <x:c r="V9" s="52" t="inlineStr">
        <x:is>
          <x:t xml:space="preserve">'=(x-Mean)/StdDev</x:t>
        </x:is>
      </x:c>
    </x:row>
    <x:row r="10">
      <x:c r="A10" s="50">
        <x:f>WKNN!A10</x:f>
        <x:v>5</x:v>
      </x:c>
      <x:c r="B10" s="9">
        <x:f>WKNN!B10</x:f>
        <x:v>3</x:v>
      </x:c>
      <x:c r="C10" s="10">
        <x:f>WKNN!C10</x:f>
        <x:v>300000</x:v>
      </x:c>
      <x:c r="D10" s="11">
        <x:f>WKNN!D10</x:f>
        <x:v>2</x:v>
      </x:c>
      <x:c r="F10" s="12">
        <x:f>(B10-$T$6)/($U$6-$T$6)</x:f>
        <x:v>0.5</x:v>
      </x:c>
      <x:c r="G10" s="12">
        <x:f>(C10-$T$7)/($U$7-$T$7)</x:f>
        <x:v>0.5</x:v>
      </x:c>
      <x:c r="H10" s="12">
        <x:f>(D10-$T$8)/($U$8-$T$8)</x:f>
        <x:v>0</x:v>
      </x:c>
      <x:c r="J10" s="12">
        <x:f>(B10-$T$9)/$U$9</x:f>
        <x:v>0</x:v>
      </x:c>
      <x:c r="K10" s="12">
        <x:f>(C10-$T$10)/$U$10</x:f>
        <x:v>0.4472135954999577</x:v>
      </x:c>
      <x:c r="L10" s="12">
        <x:f>(D10-$T$11)/$U$11</x:f>
        <x:v>-1</x:v>
      </x:c>
      <x:c r="N10" s="12">
        <x:f>B10/$T$12</x:f>
        <x:v>0.75</x:v>
      </x:c>
      <x:c r="O10" s="12">
        <x:f>C10/$T$13</x:f>
        <x:v>0.75</x:v>
      </x:c>
      <x:c r="P10" s="12">
        <x:f>D10/$T$14</x:f>
        <x:v>0.6666666666666666</x:v>
      </x:c>
      <x:c r="R10" s="51" t="inlineStr">
        <x:is>
          <x:t xml:space="preserve">Z-Score</x:t>
        </x:is>
      </x:c>
      <x:c r="S10" s="52" t="inlineStr">
        <x:is>
          <x:t xml:space="preserve">PO</x:t>
        </x:is>
      </x:c>
      <x:c r="T10" s="53">
        <x:f>AVERAGE($C$6:$C$11)</x:f>
        <x:v>266666.6666666667</x:v>
      </x:c>
      <x:c r="U10" s="53">
        <x:f>STDEV.P($C$6:$C$11)</x:f>
        <x:v>74535.59924999299</x:v>
      </x:c>
      <x:c r="V10" s="52" t="inlineStr">
        <x:is>
          <x:t xml:space="preserve">'=(x-Mean)/StdDev</x:t>
        </x:is>
      </x:c>
    </x:row>
    <x:row r="11">
      <x:c r="A11" s="50">
        <x:f>WKNN!A11</x:f>
        <x:v>6</x:v>
      </x:c>
      <x:c r="B11" s="9">
        <x:f>WKNN!B11</x:f>
        <x:v>4</x:v>
      </x:c>
      <x:c r="C11" s="10">
        <x:f>WKNN!C11</x:f>
        <x:v>400000</x:v>
      </x:c>
      <x:c r="D11" s="11">
        <x:f>WKNN!D11</x:f>
        <x:v>3</x:v>
      </x:c>
      <x:c r="F11" s="12">
        <x:f>(B11-$T$6)/($U$6-$T$6)</x:f>
        <x:v>1</x:v>
      </x:c>
      <x:c r="G11" s="12">
        <x:f>(C11-$T$7)/($U$7-$T$7)</x:f>
        <x:v>1</x:v>
      </x:c>
      <x:c r="H11" s="12">
        <x:f>(D11-$T$8)/($U$8-$T$8)</x:f>
        <x:v>1</x:v>
      </x:c>
      <x:c r="J11" s="12">
        <x:f>(B11-$T$9)/$U$9</x:f>
        <x:v>1.224744871391589</x:v>
      </x:c>
      <x:c r="K11" s="12">
        <x:f>(C11-$T$10)/$U$10</x:f>
        <x:v>1.7888543819998317</x:v>
      </x:c>
      <x:c r="L11" s="12">
        <x:f>(D11-$T$11)/$U$11</x:f>
        <x:v>1</x:v>
      </x:c>
      <x:c r="N11" s="12">
        <x:f>B11/$T$12</x:f>
        <x:v>1</x:v>
      </x:c>
      <x:c r="O11" s="12">
        <x:f>C11/$T$13</x:f>
        <x:v>1</x:v>
      </x:c>
      <x:c r="P11" s="12">
        <x:f>D11/$T$14</x:f>
        <x:v>1</x:v>
      </x:c>
      <x:c r="R11" s="51" t="inlineStr">
        <x:is>
          <x:t xml:space="preserve">Z-Score</x:t>
        </x:is>
      </x:c>
      <x:c r="S11" s="52" t="inlineStr">
        <x:is>
          <x:t xml:space="preserve">JMLH</x:t>
        </x:is>
      </x:c>
      <x:c r="T11" s="53">
        <x:f>AVERAGE($D$6:$D$11)</x:f>
        <x:v>2.5</x:v>
      </x:c>
      <x:c r="U11" s="53">
        <x:f>STDEV.P($D$6:$D$11)</x:f>
        <x:v>0.5</x:v>
      </x:c>
      <x:c r="V11" s="52" t="inlineStr">
        <x:is>
          <x:t xml:space="preserve">'=(x-Mean)/StdDev</x:t>
        </x:is>
      </x:c>
    </x:row>
    <x:row r="12">
      <x:c r="A12" s="50">
        <x:f>WKNN!A12</x:f>
        <x:v>7</x:v>
      </x:c>
      <x:c r="B12" s="9">
        <x:f>WKNN!B12</x:f>
        <x:v>2</x:v>
      </x:c>
      <x:c r="C12" s="10">
        <x:f>WKNN!C12</x:f>
        <x:v>300000</x:v>
      </x:c>
      <x:c r="D12" s="11">
        <x:f>WKNN!D12</x:f>
        <x:v>3</x:v>
      </x:c>
      <x:c r="F12" s="12">
        <x:f>(B12-$T$6)/($U$6-$T$6)</x:f>
        <x:v>0</x:v>
      </x:c>
      <x:c r="G12" s="12">
        <x:f>(C12-$T$7)/($U$7-$T$7)</x:f>
        <x:v>0.5</x:v>
      </x:c>
      <x:c r="H12" s="12">
        <x:f>(D12-$T$8)/($U$8-$T$8)</x:f>
        <x:v>1</x:v>
      </x:c>
      <x:c r="J12" s="12">
        <x:f>(B12-$T$9)/$U$9</x:f>
        <x:v>-1.224744871391589</x:v>
      </x:c>
      <x:c r="K12" s="12">
        <x:f>(C12-$T$10)/$U$10</x:f>
        <x:v>0.4472135954999577</x:v>
      </x:c>
      <x:c r="L12" s="12">
        <x:f>(D12-$T$11)/$U$11</x:f>
        <x:v>1</x:v>
      </x:c>
      <x:c r="N12" s="12">
        <x:f>B12/$T$12</x:f>
        <x:v>0.5</x:v>
      </x:c>
      <x:c r="O12" s="12">
        <x:f>C12/$T$13</x:f>
        <x:v>0.75</x:v>
      </x:c>
      <x:c r="P12" s="12">
        <x:f>D12/$T$14</x:f>
        <x:v>1</x:v>
      </x:c>
      <x:c r="R12" s="51" t="inlineStr">
        <x:is>
          <x:t xml:space="preserve">Scaling</x:t>
        </x:is>
      </x:c>
      <x:c r="S12" s="52" t="inlineStr">
        <x:is>
          <x:t xml:space="preserve">IPK</x:t>
        </x:is>
      </x:c>
      <x:c r="T12" s="53">
        <x:f>MAX($B$6:$B$11)</x:f>
        <x:v>4</x:v>
      </x:c>
      <x:c r="U12" s="53" t="inlineStr">
        <x:is>
          <x:t xml:space="preserve"/>
        </x:is>
      </x:c>
      <x:c r="V12" s="52" t="inlineStr">
        <x:is>
          <x:t xml:space="preserve">'=x/Max'</x:t>
        </x:is>
      </x:c>
    </x:row>
    <x:row r="13">
      <x:c r="R13" s="51" t="inlineStr">
        <x:is>
          <x:t xml:space="preserve">Scaling</x:t>
        </x:is>
      </x:c>
      <x:c r="S13" s="52" t="inlineStr">
        <x:is>
          <x:t xml:space="preserve">PO</x:t>
        </x:is>
      </x:c>
      <x:c r="T13" s="53">
        <x:f>MAX($C$6:$C$11)</x:f>
        <x:v>400000</x:v>
      </x:c>
      <x:c r="U13" s="53" t="inlineStr">
        <x:is>
          <x:t xml:space="preserve"/>
        </x:is>
      </x:c>
      <x:c r="V13" s="52" t="inlineStr">
        <x:is>
          <x:t xml:space="preserve">'=x/Max'</x:t>
        </x:is>
      </x:c>
    </x:row>
    <x:row r="14">
      <x:c r="R14" s="51" t="inlineStr">
        <x:is>
          <x:t xml:space="preserve">Scaling</x:t>
        </x:is>
      </x:c>
      <x:c r="S14" s="52" t="inlineStr">
        <x:is>
          <x:t xml:space="preserve">JMLH</x:t>
        </x:is>
      </x:c>
      <x:c r="T14" s="53">
        <x:f>MAX($D$6:$D$11)</x:f>
        <x:v>3</x:v>
      </x:c>
      <x:c r="U14" s="53" t="inlineStr">
        <x:is>
          <x:t xml:space="preserve"/>
        </x:is>
      </x:c>
      <x:c r="V14" s="52" t="inlineStr">
        <x:is>
          <x:t xml:space="preserve">'=x/Max'</x:t>
        </x:is>
      </x:c>
    </x:row>
    <x:row r="15" ht="36" customHeight="1">
      <x:c r="A15" s="54" t="inlineStr">
        <x:is>
          <x:t xml:space="preserve">Catatan: Data Scaling pada sheet ini menggunakan rumus x / max(x). Parameter dihitung dari 6 data latih (NO 1-6); NO 7 memakai hasil imputasi JMLH = 3 dari sheet WKNN.</x:t>
        </x:is>
      </x:c>
      <x:c r="B15" s="55" t="n"/>
      <x:c r="C15" s="55" t="n"/>
      <x:c r="D15" s="55" t="n"/>
      <x:c r="E15" s="55" t="n"/>
      <x:c r="F15" s="55" t="n"/>
      <x:c r="G15" s="55" t="n"/>
      <x:c r="H15" s="55" t="n"/>
      <x:c r="I15" s="55" t="n"/>
      <x:c r="J15" s="55" t="n"/>
      <x:c r="K15" s="55" t="n"/>
      <x:c r="L15" s="55" t="n"/>
      <x:c r="M15" s="55" t="n"/>
      <x:c r="N15" s="55" t="n"/>
      <x:c r="O15" s="55" t="n"/>
      <x:c r="P15" s="55" t="n"/>
    </x:row>
    <x:row r="17">
      <x:c r="A17" s="56" t="inlineStr">
        <x:is>
          <x:t xml:space="preserve">Ringkasan</x:t>
        </x:is>
      </x:c>
      <x:c r="B17" s="57" t="inlineStr">
        <x:is>
          <x:t xml:space="preserve">IPK</x:t>
        </x:is>
      </x:c>
      <x:c r="C17" s="57" t="inlineStr">
        <x:is>
          <x:t xml:space="preserve">PO</x:t>
        </x:is>
      </x:c>
      <x:c r="D17" s="57" t="inlineStr">
        <x:is>
          <x:t xml:space="preserve">JMLH</x:t>
        </x:is>
      </x:c>
    </x:row>
    <x:row r="18">
      <x:c r="A18" s="58" t="inlineStr">
        <x:is>
          <x:t xml:space="preserve">Min-Max NO 7 (IPK,PO,JMLH)</x:t>
        </x:is>
      </x:c>
      <x:c r="B18" s="59">
        <x:f>F12</x:f>
        <x:v>0</x:v>
      </x:c>
      <x:c r="C18" s="59">
        <x:f>G12</x:f>
        <x:v>0.5</x:v>
      </x:c>
      <x:c r="D18" s="59">
        <x:f>H12</x:f>
        <x:v>1</x:v>
      </x:c>
    </x:row>
    <x:row r="19">
      <x:c r="A19" s="58" t="inlineStr">
        <x:is>
          <x:t xml:space="preserve">Z-Score NO 7 (IPK,PO,JMLH)</x:t>
        </x:is>
      </x:c>
      <x:c r="B19" s="59">
        <x:f>J12</x:f>
        <x:v>-1.224744871391589</x:v>
      </x:c>
      <x:c r="C19" s="59">
        <x:f>K12</x:f>
        <x:v>0.4472135954999577</x:v>
      </x:c>
      <x:c r="D19" s="59">
        <x:f>L12</x:f>
        <x:v>1</x:v>
      </x:c>
    </x:row>
    <x:row r="20">
      <x:c r="A20" s="58" t="inlineStr">
        <x:is>
          <x:t xml:space="preserve">Scaling NO 7 (IPK,PO,JMLH)</x:t>
        </x:is>
      </x:c>
      <x:c r="B20" s="59">
        <x:f>N12</x:f>
        <x:v>0.5</x:v>
      </x:c>
      <x:c r="C20" s="59">
        <x:f>O12</x:f>
        <x:v>0.75</x:v>
      </x:c>
      <x:c r="D20" s="59">
        <x:f>P12</x:f>
        <x:v>1</x:v>
      </x:c>
    </x:row>
  </x:sheetData>
  <x:mergeCells>
    <x:mergeCell ref="A1:V1"/>
    <x:mergeCell ref="F4:H4"/>
    <x:mergeCell ref="J4:L4"/>
    <x:mergeCell ref="N4:P4"/>
    <x:mergeCell ref="R4:V4"/>
    <x:mergeCell ref="A15:P15"/>
  </x:mergeCells>
  <x:pageMargins left="0.7" right="0.7" top="0.75" bottom="0.75" header="0.3" footer="0.3"/>
</x:worksheet>
</file>